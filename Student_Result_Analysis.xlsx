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eke\OneDrive\Documents\ANKITHA\"/>
    </mc:Choice>
  </mc:AlternateContent>
  <bookViews>
    <workbookView xWindow="0" yWindow="0" windowWidth="23040" windowHeight="9072"/>
  </bookViews>
  <sheets>
    <sheet name="Student Data" sheetId="1" r:id="rId1"/>
    <sheet name="Summary" sheetId="2" r:id="rId2"/>
    <sheet name="README" sheetId="3" r:id="rId3"/>
  </sheets>
  <definedNames>
    <definedName name="_xlnm._FilterDatabase" localSheetId="0" hidden="1">'Student Data'!$A$1:$M$21</definedName>
  </definedNames>
  <calcPr calcId="162913"/>
</workbook>
</file>

<file path=xl/calcChain.xml><?xml version="1.0" encoding="utf-8"?>
<calcChain xmlns="http://schemas.openxmlformats.org/spreadsheetml/2006/main">
  <c r="B16" i="2" l="1"/>
  <c r="B15" i="2"/>
  <c r="B14" i="2"/>
  <c r="B13" i="2"/>
  <c r="B12" i="2"/>
  <c r="B5" i="2"/>
  <c r="B4" i="2"/>
  <c r="B3" i="2"/>
  <c r="M21" i="1"/>
  <c r="J21" i="1"/>
  <c r="I21" i="1"/>
  <c r="K21" i="1" s="1"/>
  <c r="L21" i="1" s="1"/>
  <c r="M20" i="1"/>
  <c r="K20" i="1"/>
  <c r="L20" i="1" s="1"/>
  <c r="J20" i="1"/>
  <c r="I20" i="1"/>
  <c r="M19" i="1"/>
  <c r="J19" i="1"/>
  <c r="I19" i="1"/>
  <c r="K19" i="1" s="1"/>
  <c r="L19" i="1" s="1"/>
  <c r="M18" i="1"/>
  <c r="K18" i="1"/>
  <c r="L18" i="1" s="1"/>
  <c r="J18" i="1"/>
  <c r="I18" i="1"/>
  <c r="M17" i="1"/>
  <c r="K17" i="1"/>
  <c r="L17" i="1" s="1"/>
  <c r="J17" i="1"/>
  <c r="I17" i="1"/>
  <c r="M16" i="1"/>
  <c r="J16" i="1"/>
  <c r="I16" i="1"/>
  <c r="K16" i="1" s="1"/>
  <c r="L16" i="1" s="1"/>
  <c r="M15" i="1"/>
  <c r="L15" i="1"/>
  <c r="K15" i="1"/>
  <c r="J15" i="1"/>
  <c r="I15" i="1"/>
  <c r="M14" i="1"/>
  <c r="J14" i="1"/>
  <c r="I14" i="1"/>
  <c r="K14" i="1" s="1"/>
  <c r="L14" i="1" s="1"/>
  <c r="M13" i="1"/>
  <c r="J13" i="1"/>
  <c r="I13" i="1"/>
  <c r="K13" i="1" s="1"/>
  <c r="L13" i="1" s="1"/>
  <c r="M12" i="1"/>
  <c r="K12" i="1"/>
  <c r="L12" i="1" s="1"/>
  <c r="J12" i="1"/>
  <c r="I12" i="1"/>
  <c r="M11" i="1"/>
  <c r="J11" i="1"/>
  <c r="I11" i="1"/>
  <c r="K11" i="1" s="1"/>
  <c r="L11" i="1" s="1"/>
  <c r="M10" i="1"/>
  <c r="K10" i="1"/>
  <c r="L10" i="1" s="1"/>
  <c r="J10" i="1"/>
  <c r="I10" i="1"/>
  <c r="M9" i="1"/>
  <c r="K9" i="1"/>
  <c r="L9" i="1" s="1"/>
  <c r="J9" i="1"/>
  <c r="I9" i="1"/>
  <c r="M8" i="1"/>
  <c r="J8" i="1"/>
  <c r="I8" i="1"/>
  <c r="K8" i="1" s="1"/>
  <c r="L8" i="1" s="1"/>
  <c r="M7" i="1"/>
  <c r="L7" i="1"/>
  <c r="K7" i="1"/>
  <c r="J7" i="1"/>
  <c r="I7" i="1"/>
  <c r="M6" i="1"/>
  <c r="J6" i="1"/>
  <c r="I6" i="1"/>
  <c r="K6" i="1" s="1"/>
  <c r="L6" i="1" s="1"/>
  <c r="M5" i="1"/>
  <c r="J5" i="1"/>
  <c r="I5" i="1"/>
  <c r="K5" i="1" s="1"/>
  <c r="L5" i="1" s="1"/>
  <c r="M4" i="1"/>
  <c r="K4" i="1"/>
  <c r="L4" i="1" s="1"/>
  <c r="J4" i="1"/>
  <c r="I4" i="1"/>
  <c r="M3" i="1"/>
  <c r="J3" i="1"/>
  <c r="I3" i="1"/>
  <c r="K3" i="1" s="1"/>
  <c r="L3" i="1" s="1"/>
  <c r="M2" i="1"/>
  <c r="K2" i="1"/>
  <c r="E16" i="2" s="1"/>
  <c r="D16" i="2" s="1"/>
  <c r="J2" i="1"/>
  <c r="I2" i="1"/>
  <c r="E14" i="2" l="1"/>
  <c r="D14" i="2" s="1"/>
  <c r="B6" i="2"/>
  <c r="E12" i="2"/>
  <c r="D12" i="2" s="1"/>
  <c r="L2" i="1"/>
  <c r="B7" i="2"/>
  <c r="E15" i="2"/>
  <c r="D15" i="2" s="1"/>
  <c r="B8" i="2"/>
  <c r="E13" i="2"/>
  <c r="D13" i="2" s="1"/>
  <c r="E8" i="2" l="1"/>
  <c r="E7" i="2"/>
  <c r="E4" i="2"/>
  <c r="E6" i="2"/>
  <c r="E5" i="2"/>
  <c r="E9" i="2"/>
</calcChain>
</file>

<file path=xl/sharedStrings.xml><?xml version="1.0" encoding="utf-8"?>
<sst xmlns="http://schemas.openxmlformats.org/spreadsheetml/2006/main" count="109" uniqueCount="83">
  <si>
    <t>Student ID</t>
  </si>
  <si>
    <t>Student Name</t>
  </si>
  <si>
    <t>Department</t>
  </si>
  <si>
    <t>Maths</t>
  </si>
  <si>
    <t>Python</t>
  </si>
  <si>
    <t>DBMS</t>
  </si>
  <si>
    <t>Web Development</t>
  </si>
  <si>
    <t>English</t>
  </si>
  <si>
    <t>Total</t>
  </si>
  <si>
    <t>Average</t>
  </si>
  <si>
    <t>Percentage</t>
  </si>
  <si>
    <t>Grade</t>
  </si>
  <si>
    <t>Result</t>
  </si>
  <si>
    <t>ST001</t>
  </si>
  <si>
    <t>Ananya</t>
  </si>
  <si>
    <t>CSE</t>
  </si>
  <si>
    <t>ST002</t>
  </si>
  <si>
    <t>Bhavya</t>
  </si>
  <si>
    <t>ST003</t>
  </si>
  <si>
    <t>Charan</t>
  </si>
  <si>
    <t>ST004</t>
  </si>
  <si>
    <t>Divya</t>
  </si>
  <si>
    <t>ST005</t>
  </si>
  <si>
    <t>Esha</t>
  </si>
  <si>
    <t>ST006</t>
  </si>
  <si>
    <t>Farhan</t>
  </si>
  <si>
    <t>ST007</t>
  </si>
  <si>
    <t>Gowthami</t>
  </si>
  <si>
    <t>ST008</t>
  </si>
  <si>
    <t>Harsha</t>
  </si>
  <si>
    <t>ST009</t>
  </si>
  <si>
    <t>Ishitha</t>
  </si>
  <si>
    <t>ST010</t>
  </si>
  <si>
    <t>Jahnavi</t>
  </si>
  <si>
    <t>ST011</t>
  </si>
  <si>
    <t>Kiran</t>
  </si>
  <si>
    <t>ST012</t>
  </si>
  <si>
    <t>Lavanya</t>
  </si>
  <si>
    <t>ST013</t>
  </si>
  <si>
    <t>Manoj</t>
  </si>
  <si>
    <t>ST014</t>
  </si>
  <si>
    <t>Nandini</t>
  </si>
  <si>
    <t>ST015</t>
  </si>
  <si>
    <t>Pavan</t>
  </si>
  <si>
    <t>ST016</t>
  </si>
  <si>
    <t>Riya</t>
  </si>
  <si>
    <t>ST017</t>
  </si>
  <si>
    <t>Sanjay</t>
  </si>
  <si>
    <t>ST018</t>
  </si>
  <si>
    <t>Tejaswini</t>
  </si>
  <si>
    <t>ST019</t>
  </si>
  <si>
    <t>Varun</t>
  </si>
  <si>
    <t>ST020</t>
  </si>
  <si>
    <t>Yamini</t>
  </si>
  <si>
    <t>STUDENT RESULT ANALYSIS</t>
  </si>
  <si>
    <t>Total Students</t>
  </si>
  <si>
    <t>Students</t>
  </si>
  <si>
    <t>Passed Students</t>
  </si>
  <si>
    <t>A+</t>
  </si>
  <si>
    <t>Failed Students</t>
  </si>
  <si>
    <t>A</t>
  </si>
  <si>
    <t>Class Average</t>
  </si>
  <si>
    <t>B</t>
  </si>
  <si>
    <t>Highest Percentage</t>
  </si>
  <si>
    <t>C</t>
  </si>
  <si>
    <t>Lowest Percentage</t>
  </si>
  <si>
    <t>D</t>
  </si>
  <si>
    <t>F</t>
  </si>
  <si>
    <t>Subject</t>
  </si>
  <si>
    <t>Average Marks</t>
  </si>
  <si>
    <t>Top Performers</t>
  </si>
  <si>
    <t>Project Title</t>
  </si>
  <si>
    <t>Student Result Analysis using Excel</t>
  </si>
  <si>
    <t>Objective</t>
  </si>
  <si>
    <t>Analyze student marks, calculate performance metrics, classify grades, and visualize results.</t>
  </si>
  <si>
    <t>Skills Demonstrated</t>
  </si>
  <si>
    <t>Excel formulas, sorting/filtering, conditional formatting, charts, data analysis, dashboard creation.</t>
  </si>
  <si>
    <t>Sheets</t>
  </si>
  <si>
    <t>Student Data = raw marks + calculations; Summary = KPIs, grade distribution, subject averages and charts; README = project documentation.</t>
  </si>
  <si>
    <t>Suggested GitHub Contents</t>
  </si>
  <si>
    <t>README.md + Student_Result_Analysis.xlsx + optional screenshots of the dashboard.</t>
  </si>
  <si>
    <t>Resume Bullet</t>
  </si>
  <si>
    <t>Analyzed 20-student academic data using Excel formulas, conditional formatting and charts to identify performance trends, grade distribution and top performers.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</si>
</sst>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F4E78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3" borderId="1" xfId="0" applyFont="1" applyFill="1" applyBorder="1"/>
    <xf numFmtId="0" fontId="0" fillId="4" borderId="1" xfId="0" applyFill="1" applyBorder="1"/>
    <xf numFmtId="0" fontId="1" fillId="2" borderId="0" xfId="0" applyFont="1" applyFill="1"/>
    <xf numFmtId="2" fontId="0" fillId="4" borderId="1" xfId="0" applyNumberFormat="1" applyFill="1" applyBorder="1"/>
    <xf numFmtId="2" fontId="0" fillId="0" borderId="0" xfId="0" applyNumberFormat="1"/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Marks by Subject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Summary!$B$11</c:f>
              <c:strCache>
                <c:ptCount val="1"/>
                <c:pt idx="0">
                  <c:v>Average Marks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Summary!$A$12:$A$16</c:f>
              <c:strCache>
                <c:ptCount val="5"/>
                <c:pt idx="0">
                  <c:v>Maths</c:v>
                </c:pt>
                <c:pt idx="1">
                  <c:v>Python</c:v>
                </c:pt>
                <c:pt idx="2">
                  <c:v>DBMS</c:v>
                </c:pt>
                <c:pt idx="3">
                  <c:v>Web Development</c:v>
                </c:pt>
                <c:pt idx="4">
                  <c:v>English</c:v>
                </c:pt>
              </c:strCache>
            </c:strRef>
          </c:cat>
          <c:val>
            <c:numRef>
              <c:f>Summary!$B$12:$B$16</c:f>
              <c:numCache>
                <c:formatCode>0.00</c:formatCode>
                <c:ptCount val="5"/>
                <c:pt idx="0">
                  <c:v>75.400000000000006</c:v>
                </c:pt>
                <c:pt idx="1">
                  <c:v>76.599999999999994</c:v>
                </c:pt>
                <c:pt idx="2">
                  <c:v>76.599999999999994</c:v>
                </c:pt>
                <c:pt idx="3">
                  <c:v>77</c:v>
                </c:pt>
                <c:pt idx="4">
                  <c:v>77.400000000000006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0-4543-8E8A-452FF846A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Subject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Marks</a:t>
                </a:r>
              </a:p>
            </c:rich>
          </c:tx>
          <c:layout/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Grade Distribution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Summary!$D$4:$D$9</c:f>
              <c:strCache>
                <c:ptCount val="6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Summary!$E$4:$E$9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9-4170-9A14-FB3551F3B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468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360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G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14" customWidth="1"/>
    <col min="4" max="6" width="10" customWidth="1"/>
    <col min="7" max="7" width="18" customWidth="1"/>
    <col min="8" max="10" width="10" customWidth="1"/>
    <col min="11" max="11" width="12" customWidth="1"/>
    <col min="12" max="13" width="1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>
        <v>78</v>
      </c>
      <c r="E2" s="2">
        <v>85</v>
      </c>
      <c r="F2" s="2">
        <v>81</v>
      </c>
      <c r="G2" s="2">
        <v>88</v>
      </c>
      <c r="H2" s="2">
        <v>76</v>
      </c>
      <c r="I2" s="2">
        <f t="shared" ref="I2:I21" si="0">SUM(D2:H2)</f>
        <v>408</v>
      </c>
      <c r="J2" s="3">
        <f t="shared" ref="J2:J21" si="1">AVERAGE(D2:H2)</f>
        <v>81.599999999999994</v>
      </c>
      <c r="K2" s="3">
        <f t="shared" ref="K2:K21" si="2">I2/500*100</f>
        <v>81.599999999999994</v>
      </c>
      <c r="L2" s="2" t="str">
        <f t="shared" ref="L2:L21" si="3">IF(K2&gt;=90,"A+",IF(K2&gt;=80,"A",IF(K2&gt;=70,"B",IF(K2&gt;=60,"C",IF(K2&gt;=50,"D","F")))))</f>
        <v>A</v>
      </c>
      <c r="M2" s="2" t="str">
        <f t="shared" ref="M2:M21" si="4">IF(MIN(D2:H2)&gt;=35,"Pass","Fail")</f>
        <v>Pass</v>
      </c>
    </row>
    <row r="3" spans="1:13" x14ac:dyDescent="0.3">
      <c r="A3" s="2" t="s">
        <v>16</v>
      </c>
      <c r="B3" s="2" t="s">
        <v>17</v>
      </c>
      <c r="C3" s="2" t="s">
        <v>15</v>
      </c>
      <c r="D3" s="2">
        <v>92</v>
      </c>
      <c r="E3" s="2">
        <v>89</v>
      </c>
      <c r="F3" s="2">
        <v>95</v>
      </c>
      <c r="G3" s="2">
        <v>90</v>
      </c>
      <c r="H3" s="2">
        <v>94</v>
      </c>
      <c r="I3" s="2">
        <f t="shared" si="0"/>
        <v>460</v>
      </c>
      <c r="J3" s="3">
        <f t="shared" si="1"/>
        <v>92</v>
      </c>
      <c r="K3" s="3">
        <f t="shared" si="2"/>
        <v>92</v>
      </c>
      <c r="L3" s="2" t="str">
        <f t="shared" si="3"/>
        <v>A+</v>
      </c>
      <c r="M3" s="2" t="str">
        <f t="shared" si="4"/>
        <v>Pass</v>
      </c>
    </row>
    <row r="4" spans="1:13" x14ac:dyDescent="0.3">
      <c r="A4" s="2" t="s">
        <v>18</v>
      </c>
      <c r="B4" s="2" t="s">
        <v>19</v>
      </c>
      <c r="C4" s="2" t="s">
        <v>15</v>
      </c>
      <c r="D4" s="2">
        <v>65</v>
      </c>
      <c r="E4" s="2">
        <v>72</v>
      </c>
      <c r="F4" s="2">
        <v>68</v>
      </c>
      <c r="G4" s="2">
        <v>70</v>
      </c>
      <c r="H4" s="2">
        <v>66</v>
      </c>
      <c r="I4" s="2">
        <f t="shared" si="0"/>
        <v>341</v>
      </c>
      <c r="J4" s="3">
        <f t="shared" si="1"/>
        <v>68.2</v>
      </c>
      <c r="K4" s="3">
        <f t="shared" si="2"/>
        <v>68.2</v>
      </c>
      <c r="L4" s="2" t="str">
        <f t="shared" si="3"/>
        <v>C</v>
      </c>
      <c r="M4" s="2" t="str">
        <f t="shared" si="4"/>
        <v>Pass</v>
      </c>
    </row>
    <row r="5" spans="1:13" x14ac:dyDescent="0.3">
      <c r="A5" s="2" t="s">
        <v>20</v>
      </c>
      <c r="B5" s="2" t="s">
        <v>21</v>
      </c>
      <c r="C5" s="2" t="s">
        <v>15</v>
      </c>
      <c r="D5" s="2">
        <v>84</v>
      </c>
      <c r="E5" s="2">
        <v>79</v>
      </c>
      <c r="F5" s="2">
        <v>88</v>
      </c>
      <c r="G5" s="2">
        <v>91</v>
      </c>
      <c r="H5" s="2">
        <v>86</v>
      </c>
      <c r="I5" s="2">
        <f t="shared" si="0"/>
        <v>428</v>
      </c>
      <c r="J5" s="3">
        <f t="shared" si="1"/>
        <v>85.6</v>
      </c>
      <c r="K5" s="3">
        <f t="shared" si="2"/>
        <v>85.6</v>
      </c>
      <c r="L5" s="2" t="str">
        <f t="shared" si="3"/>
        <v>A</v>
      </c>
      <c r="M5" s="2" t="str">
        <f t="shared" si="4"/>
        <v>Pass</v>
      </c>
    </row>
    <row r="6" spans="1:13" x14ac:dyDescent="0.3">
      <c r="A6" s="2" t="s">
        <v>22</v>
      </c>
      <c r="B6" s="2" t="s">
        <v>23</v>
      </c>
      <c r="C6" s="2" t="s">
        <v>15</v>
      </c>
      <c r="D6" s="2">
        <v>55</v>
      </c>
      <c r="E6" s="2">
        <v>61</v>
      </c>
      <c r="F6" s="2">
        <v>58</v>
      </c>
      <c r="G6" s="2">
        <v>64</v>
      </c>
      <c r="H6" s="2">
        <v>60</v>
      </c>
      <c r="I6" s="2">
        <f t="shared" si="0"/>
        <v>298</v>
      </c>
      <c r="J6" s="3">
        <f t="shared" si="1"/>
        <v>59.6</v>
      </c>
      <c r="K6" s="3">
        <f t="shared" si="2"/>
        <v>59.599999999999994</v>
      </c>
      <c r="L6" s="2" t="str">
        <f t="shared" si="3"/>
        <v>D</v>
      </c>
      <c r="M6" s="2" t="str">
        <f t="shared" si="4"/>
        <v>Pass</v>
      </c>
    </row>
    <row r="7" spans="1:13" x14ac:dyDescent="0.3">
      <c r="A7" s="2" t="s">
        <v>24</v>
      </c>
      <c r="B7" s="2" t="s">
        <v>25</v>
      </c>
      <c r="C7" s="2" t="s">
        <v>15</v>
      </c>
      <c r="D7" s="2">
        <v>73</v>
      </c>
      <c r="E7" s="2">
        <v>68</v>
      </c>
      <c r="F7" s="2">
        <v>75</v>
      </c>
      <c r="G7" s="2">
        <v>71</v>
      </c>
      <c r="H7" s="2">
        <v>79</v>
      </c>
      <c r="I7" s="2">
        <f t="shared" si="0"/>
        <v>366</v>
      </c>
      <c r="J7" s="3">
        <f t="shared" si="1"/>
        <v>73.2</v>
      </c>
      <c r="K7" s="3">
        <f t="shared" si="2"/>
        <v>73.2</v>
      </c>
      <c r="L7" s="2" t="str">
        <f t="shared" si="3"/>
        <v>B</v>
      </c>
      <c r="M7" s="2" t="str">
        <f t="shared" si="4"/>
        <v>Pass</v>
      </c>
    </row>
    <row r="8" spans="1:13" x14ac:dyDescent="0.3">
      <c r="A8" s="2" t="s">
        <v>26</v>
      </c>
      <c r="B8" s="2" t="s">
        <v>27</v>
      </c>
      <c r="C8" s="2" t="s">
        <v>15</v>
      </c>
      <c r="D8" s="2">
        <v>96</v>
      </c>
      <c r="E8" s="2">
        <v>94</v>
      </c>
      <c r="F8" s="2">
        <v>91</v>
      </c>
      <c r="G8" s="2">
        <v>97</v>
      </c>
      <c r="H8" s="2">
        <v>93</v>
      </c>
      <c r="I8" s="2">
        <f t="shared" si="0"/>
        <v>471</v>
      </c>
      <c r="J8" s="3">
        <f t="shared" si="1"/>
        <v>94.2</v>
      </c>
      <c r="K8" s="3">
        <f t="shared" si="2"/>
        <v>94.199999999999989</v>
      </c>
      <c r="L8" s="2" t="str">
        <f t="shared" si="3"/>
        <v>A+</v>
      </c>
      <c r="M8" s="2" t="str">
        <f t="shared" si="4"/>
        <v>Pass</v>
      </c>
    </row>
    <row r="9" spans="1:13" x14ac:dyDescent="0.3">
      <c r="A9" s="2" t="s">
        <v>28</v>
      </c>
      <c r="B9" s="2" t="s">
        <v>29</v>
      </c>
      <c r="C9" s="2" t="s">
        <v>15</v>
      </c>
      <c r="D9" s="2">
        <v>69</v>
      </c>
      <c r="E9" s="2">
        <v>75</v>
      </c>
      <c r="F9" s="2">
        <v>72</v>
      </c>
      <c r="G9" s="2">
        <v>67</v>
      </c>
      <c r="H9" s="2">
        <v>70</v>
      </c>
      <c r="I9" s="2">
        <f t="shared" si="0"/>
        <v>353</v>
      </c>
      <c r="J9" s="3">
        <f t="shared" si="1"/>
        <v>70.599999999999994</v>
      </c>
      <c r="K9" s="3">
        <f t="shared" si="2"/>
        <v>70.599999999999994</v>
      </c>
      <c r="L9" s="2" t="str">
        <f t="shared" si="3"/>
        <v>B</v>
      </c>
      <c r="M9" s="2" t="str">
        <f t="shared" si="4"/>
        <v>Pass</v>
      </c>
    </row>
    <row r="10" spans="1:13" x14ac:dyDescent="0.3">
      <c r="A10" s="2" t="s">
        <v>30</v>
      </c>
      <c r="B10" s="2" t="s">
        <v>31</v>
      </c>
      <c r="C10" s="2" t="s">
        <v>15</v>
      </c>
      <c r="D10" s="2">
        <v>88</v>
      </c>
      <c r="E10" s="2">
        <v>86</v>
      </c>
      <c r="F10" s="2">
        <v>84</v>
      </c>
      <c r="G10" s="2">
        <v>89</v>
      </c>
      <c r="H10" s="2">
        <v>90</v>
      </c>
      <c r="I10" s="2">
        <f t="shared" si="0"/>
        <v>437</v>
      </c>
      <c r="J10" s="3">
        <f t="shared" si="1"/>
        <v>87.4</v>
      </c>
      <c r="K10" s="3">
        <f t="shared" si="2"/>
        <v>87.4</v>
      </c>
      <c r="L10" s="2" t="str">
        <f t="shared" si="3"/>
        <v>A</v>
      </c>
      <c r="M10" s="2" t="str">
        <f t="shared" si="4"/>
        <v>Pass</v>
      </c>
    </row>
    <row r="11" spans="1:13" x14ac:dyDescent="0.3">
      <c r="A11" s="2" t="s">
        <v>32</v>
      </c>
      <c r="B11" s="2" t="s">
        <v>33</v>
      </c>
      <c r="C11" s="2" t="s">
        <v>15</v>
      </c>
      <c r="D11" s="2">
        <v>62</v>
      </c>
      <c r="E11" s="2">
        <v>59</v>
      </c>
      <c r="F11" s="2">
        <v>65</v>
      </c>
      <c r="G11" s="2">
        <v>61</v>
      </c>
      <c r="H11" s="2">
        <v>68</v>
      </c>
      <c r="I11" s="2">
        <f t="shared" si="0"/>
        <v>315</v>
      </c>
      <c r="J11" s="3">
        <f t="shared" si="1"/>
        <v>63</v>
      </c>
      <c r="K11" s="3">
        <f t="shared" si="2"/>
        <v>63</v>
      </c>
      <c r="L11" s="2" t="str">
        <f t="shared" si="3"/>
        <v>C</v>
      </c>
      <c r="M11" s="2" t="str">
        <f t="shared" si="4"/>
        <v>Pass</v>
      </c>
    </row>
    <row r="12" spans="1:13" x14ac:dyDescent="0.3">
      <c r="A12" s="2" t="s">
        <v>34</v>
      </c>
      <c r="B12" s="2" t="s">
        <v>35</v>
      </c>
      <c r="C12" s="2" t="s">
        <v>15</v>
      </c>
      <c r="D12" s="2">
        <v>81</v>
      </c>
      <c r="E12" s="2">
        <v>77</v>
      </c>
      <c r="F12" s="2">
        <v>80</v>
      </c>
      <c r="G12" s="2">
        <v>85</v>
      </c>
      <c r="H12" s="2">
        <v>78</v>
      </c>
      <c r="I12" s="2">
        <f t="shared" si="0"/>
        <v>401</v>
      </c>
      <c r="J12" s="3">
        <f t="shared" si="1"/>
        <v>80.2</v>
      </c>
      <c r="K12" s="3">
        <f t="shared" si="2"/>
        <v>80.2</v>
      </c>
      <c r="L12" s="2" t="str">
        <f t="shared" si="3"/>
        <v>A</v>
      </c>
      <c r="M12" s="2" t="str">
        <f t="shared" si="4"/>
        <v>Pass</v>
      </c>
    </row>
    <row r="13" spans="1:13" x14ac:dyDescent="0.3">
      <c r="A13" s="2" t="s">
        <v>36</v>
      </c>
      <c r="B13" s="2" t="s">
        <v>37</v>
      </c>
      <c r="C13" s="2" t="s">
        <v>15</v>
      </c>
      <c r="D13" s="2">
        <v>74</v>
      </c>
      <c r="E13" s="2">
        <v>82</v>
      </c>
      <c r="F13" s="2">
        <v>76</v>
      </c>
      <c r="G13" s="2">
        <v>73</v>
      </c>
      <c r="H13" s="2">
        <v>80</v>
      </c>
      <c r="I13" s="2">
        <f t="shared" si="0"/>
        <v>385</v>
      </c>
      <c r="J13" s="3">
        <f t="shared" si="1"/>
        <v>77</v>
      </c>
      <c r="K13" s="3">
        <f t="shared" si="2"/>
        <v>77</v>
      </c>
      <c r="L13" s="2" t="str">
        <f t="shared" si="3"/>
        <v>B</v>
      </c>
      <c r="M13" s="2" t="str">
        <f t="shared" si="4"/>
        <v>Pass</v>
      </c>
    </row>
    <row r="14" spans="1:13" x14ac:dyDescent="0.3">
      <c r="A14" s="2" t="s">
        <v>38</v>
      </c>
      <c r="B14" s="2" t="s">
        <v>39</v>
      </c>
      <c r="C14" s="2" t="s">
        <v>15</v>
      </c>
      <c r="D14" s="2">
        <v>48</v>
      </c>
      <c r="E14" s="2">
        <v>55</v>
      </c>
      <c r="F14" s="2">
        <v>51</v>
      </c>
      <c r="G14" s="2">
        <v>58</v>
      </c>
      <c r="H14" s="2">
        <v>53</v>
      </c>
      <c r="I14" s="2">
        <f t="shared" si="0"/>
        <v>265</v>
      </c>
      <c r="J14" s="3">
        <f t="shared" si="1"/>
        <v>53</v>
      </c>
      <c r="K14" s="3">
        <f t="shared" si="2"/>
        <v>53</v>
      </c>
      <c r="L14" s="2" t="str">
        <f t="shared" si="3"/>
        <v>D</v>
      </c>
      <c r="M14" s="2" t="str">
        <f t="shared" si="4"/>
        <v>Pass</v>
      </c>
    </row>
    <row r="15" spans="1:13" x14ac:dyDescent="0.3">
      <c r="A15" s="2" t="s">
        <v>40</v>
      </c>
      <c r="B15" s="2" t="s">
        <v>41</v>
      </c>
      <c r="C15" s="2" t="s">
        <v>15</v>
      </c>
      <c r="D15" s="2">
        <v>90</v>
      </c>
      <c r="E15" s="2">
        <v>87</v>
      </c>
      <c r="F15" s="2">
        <v>92</v>
      </c>
      <c r="G15" s="2">
        <v>86</v>
      </c>
      <c r="H15" s="2">
        <v>89</v>
      </c>
      <c r="I15" s="2">
        <f t="shared" si="0"/>
        <v>444</v>
      </c>
      <c r="J15" s="3">
        <f t="shared" si="1"/>
        <v>88.8</v>
      </c>
      <c r="K15" s="3">
        <f t="shared" si="2"/>
        <v>88.8</v>
      </c>
      <c r="L15" s="2" t="str">
        <f t="shared" si="3"/>
        <v>A</v>
      </c>
      <c r="M15" s="2" t="str">
        <f t="shared" si="4"/>
        <v>Pass</v>
      </c>
    </row>
    <row r="16" spans="1:13" x14ac:dyDescent="0.3">
      <c r="A16" s="2" t="s">
        <v>42</v>
      </c>
      <c r="B16" s="2" t="s">
        <v>43</v>
      </c>
      <c r="C16" s="2" t="s">
        <v>15</v>
      </c>
      <c r="D16" s="2">
        <v>67</v>
      </c>
      <c r="E16" s="2">
        <v>64</v>
      </c>
      <c r="F16" s="2">
        <v>70</v>
      </c>
      <c r="G16" s="2">
        <v>72</v>
      </c>
      <c r="H16" s="2">
        <v>65</v>
      </c>
      <c r="I16" s="2">
        <f t="shared" si="0"/>
        <v>338</v>
      </c>
      <c r="J16" s="3">
        <f t="shared" si="1"/>
        <v>67.599999999999994</v>
      </c>
      <c r="K16" s="3">
        <f t="shared" si="2"/>
        <v>67.600000000000009</v>
      </c>
      <c r="L16" s="2" t="str">
        <f t="shared" si="3"/>
        <v>C</v>
      </c>
      <c r="M16" s="2" t="str">
        <f t="shared" si="4"/>
        <v>Pass</v>
      </c>
    </row>
    <row r="17" spans="1:13" x14ac:dyDescent="0.3">
      <c r="A17" s="2" t="s">
        <v>44</v>
      </c>
      <c r="B17" s="2" t="s">
        <v>45</v>
      </c>
      <c r="C17" s="2" t="s">
        <v>15</v>
      </c>
      <c r="D17" s="2">
        <v>85</v>
      </c>
      <c r="E17" s="2">
        <v>91</v>
      </c>
      <c r="F17" s="2">
        <v>87</v>
      </c>
      <c r="G17" s="2">
        <v>83</v>
      </c>
      <c r="H17" s="2">
        <v>88</v>
      </c>
      <c r="I17" s="2">
        <f t="shared" si="0"/>
        <v>434</v>
      </c>
      <c r="J17" s="3">
        <f t="shared" si="1"/>
        <v>86.8</v>
      </c>
      <c r="K17" s="3">
        <f t="shared" si="2"/>
        <v>86.8</v>
      </c>
      <c r="L17" s="2" t="str">
        <f t="shared" si="3"/>
        <v>A</v>
      </c>
      <c r="M17" s="2" t="str">
        <f t="shared" si="4"/>
        <v>Pass</v>
      </c>
    </row>
    <row r="18" spans="1:13" x14ac:dyDescent="0.3">
      <c r="A18" s="2" t="s">
        <v>46</v>
      </c>
      <c r="B18" s="2" t="s">
        <v>47</v>
      </c>
      <c r="C18" s="2" t="s">
        <v>15</v>
      </c>
      <c r="D18" s="2">
        <v>59</v>
      </c>
      <c r="E18" s="2">
        <v>63</v>
      </c>
      <c r="F18" s="2">
        <v>57</v>
      </c>
      <c r="G18" s="2">
        <v>60</v>
      </c>
      <c r="H18" s="2">
        <v>62</v>
      </c>
      <c r="I18" s="2">
        <f t="shared" si="0"/>
        <v>301</v>
      </c>
      <c r="J18" s="3">
        <f t="shared" si="1"/>
        <v>60.2</v>
      </c>
      <c r="K18" s="3">
        <f t="shared" si="2"/>
        <v>60.199999999999996</v>
      </c>
      <c r="L18" s="2" t="str">
        <f t="shared" si="3"/>
        <v>C</v>
      </c>
      <c r="M18" s="2" t="str">
        <f t="shared" si="4"/>
        <v>Pass</v>
      </c>
    </row>
    <row r="19" spans="1:13" x14ac:dyDescent="0.3">
      <c r="A19" s="2" t="s">
        <v>48</v>
      </c>
      <c r="B19" s="2" t="s">
        <v>49</v>
      </c>
      <c r="C19" s="2" t="s">
        <v>15</v>
      </c>
      <c r="D19" s="2">
        <v>77</v>
      </c>
      <c r="E19" s="2">
        <v>80</v>
      </c>
      <c r="F19" s="2">
        <v>79</v>
      </c>
      <c r="G19" s="2">
        <v>75</v>
      </c>
      <c r="H19" s="2">
        <v>82</v>
      </c>
      <c r="I19" s="2">
        <f t="shared" si="0"/>
        <v>393</v>
      </c>
      <c r="J19" s="3">
        <f t="shared" si="1"/>
        <v>78.599999999999994</v>
      </c>
      <c r="K19" s="3">
        <f t="shared" si="2"/>
        <v>78.600000000000009</v>
      </c>
      <c r="L19" s="2" t="str">
        <f t="shared" si="3"/>
        <v>B</v>
      </c>
      <c r="M19" s="2" t="str">
        <f t="shared" si="4"/>
        <v>Pass</v>
      </c>
    </row>
    <row r="20" spans="1:13" x14ac:dyDescent="0.3">
      <c r="A20" s="2" t="s">
        <v>50</v>
      </c>
      <c r="B20" s="2" t="s">
        <v>51</v>
      </c>
      <c r="C20" s="2" t="s">
        <v>15</v>
      </c>
      <c r="D20" s="2">
        <v>71</v>
      </c>
      <c r="E20" s="2">
        <v>69</v>
      </c>
      <c r="F20" s="2">
        <v>73</v>
      </c>
      <c r="G20" s="2">
        <v>68</v>
      </c>
      <c r="H20" s="2">
        <v>74</v>
      </c>
      <c r="I20" s="2">
        <f t="shared" si="0"/>
        <v>355</v>
      </c>
      <c r="J20" s="3">
        <f t="shared" si="1"/>
        <v>71</v>
      </c>
      <c r="K20" s="3">
        <f t="shared" si="2"/>
        <v>71</v>
      </c>
      <c r="L20" s="2" t="str">
        <f t="shared" si="3"/>
        <v>B</v>
      </c>
      <c r="M20" s="2" t="str">
        <f t="shared" si="4"/>
        <v>Pass</v>
      </c>
    </row>
    <row r="21" spans="1:13" x14ac:dyDescent="0.3">
      <c r="A21" s="2" t="s">
        <v>52</v>
      </c>
      <c r="B21" s="2" t="s">
        <v>53</v>
      </c>
      <c r="C21" s="2" t="s">
        <v>15</v>
      </c>
      <c r="D21" s="2">
        <v>94</v>
      </c>
      <c r="E21" s="2">
        <v>96</v>
      </c>
      <c r="F21" s="2">
        <v>90</v>
      </c>
      <c r="G21" s="2">
        <v>92</v>
      </c>
      <c r="H21" s="2">
        <v>95</v>
      </c>
      <c r="I21" s="2">
        <f t="shared" si="0"/>
        <v>467</v>
      </c>
      <c r="J21" s="3">
        <f t="shared" si="1"/>
        <v>93.4</v>
      </c>
      <c r="K21" s="3">
        <f t="shared" si="2"/>
        <v>93.4</v>
      </c>
      <c r="L21" s="2" t="str">
        <f t="shared" si="3"/>
        <v>A+</v>
      </c>
      <c r="M21" s="2" t="str">
        <f t="shared" si="4"/>
        <v>Pass</v>
      </c>
    </row>
  </sheetData>
  <autoFilter ref="A1:M21"/>
  <conditionalFormatting sqref="K2:K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D1"/>
    </sheetView>
  </sheetViews>
  <sheetFormatPr defaultRowHeight="14.4" x14ac:dyDescent="0.3"/>
  <cols>
    <col min="1" max="2" width="22" customWidth="1"/>
    <col min="3" max="3" width="3" customWidth="1"/>
    <col min="4" max="5" width="22" customWidth="1"/>
  </cols>
  <sheetData>
    <row r="1" spans="1:5" ht="23.4" x14ac:dyDescent="0.45">
      <c r="A1" s="11" t="s">
        <v>54</v>
      </c>
      <c r="B1" s="12"/>
      <c r="C1" s="12"/>
      <c r="D1" s="12"/>
    </row>
    <row r="3" spans="1:5" x14ac:dyDescent="0.3">
      <c r="A3" s="4" t="s">
        <v>55</v>
      </c>
      <c r="B3" s="5">
        <f>COUNTA('Student Data'!A2:A21)</f>
        <v>20</v>
      </c>
      <c r="D3" s="6" t="s">
        <v>11</v>
      </c>
      <c r="E3" s="6" t="s">
        <v>56</v>
      </c>
    </row>
    <row r="4" spans="1:5" x14ac:dyDescent="0.3">
      <c r="A4" s="4" t="s">
        <v>57</v>
      </c>
      <c r="B4" s="5">
        <f>COUNTIF('Student Data'!M2:M21,"Pass")</f>
        <v>20</v>
      </c>
      <c r="D4" t="s">
        <v>58</v>
      </c>
      <c r="E4">
        <f>COUNTIF('Student Data'!L2:L21,D4)</f>
        <v>3</v>
      </c>
    </row>
    <row r="5" spans="1:5" x14ac:dyDescent="0.3">
      <c r="A5" s="4" t="s">
        <v>59</v>
      </c>
      <c r="B5" s="5">
        <f>COUNTIF('Student Data'!M2:M21,"Fail")</f>
        <v>0</v>
      </c>
      <c r="D5" t="s">
        <v>60</v>
      </c>
      <c r="E5">
        <f>COUNTIF('Student Data'!L2:L21,D5)</f>
        <v>6</v>
      </c>
    </row>
    <row r="6" spans="1:5" x14ac:dyDescent="0.3">
      <c r="A6" s="4" t="s">
        <v>61</v>
      </c>
      <c r="B6" s="7">
        <f>AVERAGE('Student Data'!K2:K21)</f>
        <v>76.599999999999994</v>
      </c>
      <c r="D6" t="s">
        <v>62</v>
      </c>
      <c r="E6">
        <f>COUNTIF('Student Data'!L2:L21,D6)</f>
        <v>5</v>
      </c>
    </row>
    <row r="7" spans="1:5" x14ac:dyDescent="0.3">
      <c r="A7" s="4" t="s">
        <v>63</v>
      </c>
      <c r="B7" s="7">
        <f>MAX('Student Data'!K2:K21)</f>
        <v>94.199999999999989</v>
      </c>
      <c r="D7" t="s">
        <v>64</v>
      </c>
      <c r="E7">
        <f>COUNTIF('Student Data'!L2:L21,D7)</f>
        <v>4</v>
      </c>
    </row>
    <row r="8" spans="1:5" x14ac:dyDescent="0.3">
      <c r="A8" s="4" t="s">
        <v>65</v>
      </c>
      <c r="B8" s="7">
        <f>MIN('Student Data'!K2:K21)</f>
        <v>53</v>
      </c>
      <c r="D8" t="s">
        <v>66</v>
      </c>
      <c r="E8">
        <f>COUNTIF('Student Data'!L2:L21,D8)</f>
        <v>2</v>
      </c>
    </row>
    <row r="9" spans="1:5" x14ac:dyDescent="0.3">
      <c r="D9" t="s">
        <v>67</v>
      </c>
      <c r="E9">
        <f>COUNTIF('Student Data'!L2:L21,D9)</f>
        <v>0</v>
      </c>
    </row>
    <row r="11" spans="1:5" x14ac:dyDescent="0.3">
      <c r="A11" s="6" t="s">
        <v>68</v>
      </c>
      <c r="B11" s="6" t="s">
        <v>69</v>
      </c>
      <c r="D11" s="6" t="s">
        <v>70</v>
      </c>
      <c r="E11" s="6" t="s">
        <v>10</v>
      </c>
    </row>
    <row r="12" spans="1:5" x14ac:dyDescent="0.3">
      <c r="A12" t="s">
        <v>3</v>
      </c>
      <c r="B12" s="8">
        <f>AVERAGE('Student Data'!D2:D21)</f>
        <v>75.400000000000006</v>
      </c>
      <c r="D12" t="str">
        <f>INDEX('Student Data'!B2:B21,MATCH(E12,'Student Data'!K2:K21,0))</f>
        <v>Gowthami</v>
      </c>
      <c r="E12" s="8">
        <f>LARGE('Student Data'!K2:K21,1)</f>
        <v>94.199999999999989</v>
      </c>
    </row>
    <row r="13" spans="1:5" x14ac:dyDescent="0.3">
      <c r="A13" t="s">
        <v>4</v>
      </c>
      <c r="B13" s="8">
        <f>AVERAGE('Student Data'!E2:E21)</f>
        <v>76.599999999999994</v>
      </c>
      <c r="D13" t="str">
        <f>INDEX('Student Data'!B2:B21,MATCH(E13,'Student Data'!K2:K21,0))</f>
        <v>Yamini</v>
      </c>
      <c r="E13" s="8">
        <f>LARGE('Student Data'!K2:K21,2)</f>
        <v>93.4</v>
      </c>
    </row>
    <row r="14" spans="1:5" x14ac:dyDescent="0.3">
      <c r="A14" t="s">
        <v>5</v>
      </c>
      <c r="B14" s="8">
        <f>AVERAGE('Student Data'!F2:F21)</f>
        <v>76.599999999999994</v>
      </c>
      <c r="D14" t="str">
        <f>INDEX('Student Data'!B2:B21,MATCH(E14,'Student Data'!K2:K21,0))</f>
        <v>Bhavya</v>
      </c>
      <c r="E14" s="8">
        <f>LARGE('Student Data'!K2:K21,3)</f>
        <v>92</v>
      </c>
    </row>
    <row r="15" spans="1:5" x14ac:dyDescent="0.3">
      <c r="A15" t="s">
        <v>6</v>
      </c>
      <c r="B15" s="8">
        <f>AVERAGE('Student Data'!G2:G21)</f>
        <v>77</v>
      </c>
      <c r="D15" t="str">
        <f>INDEX('Student Data'!B2:B21,MATCH(E15,'Student Data'!K2:K21,0))</f>
        <v>Nandini</v>
      </c>
      <c r="E15" s="8">
        <f>LARGE('Student Data'!K2:K21,4)</f>
        <v>88.8</v>
      </c>
    </row>
    <row r="16" spans="1:5" x14ac:dyDescent="0.3">
      <c r="A16" t="s">
        <v>7</v>
      </c>
      <c r="B16" s="8">
        <f>AVERAGE('Student Data'!H2:H21)</f>
        <v>77.400000000000006</v>
      </c>
      <c r="D16" t="str">
        <f>INDEX('Student Data'!B2:B21,MATCH(E16,'Student Data'!K2:K21,0))</f>
        <v>Ishitha</v>
      </c>
      <c r="E16" s="8">
        <f>LARGE('Student Data'!K2:K21,5)</f>
        <v>87.4</v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opLeftCell="B1" workbookViewId="0">
      <selection activeCell="B5" sqref="B5"/>
    </sheetView>
  </sheetViews>
  <sheetFormatPr defaultRowHeight="14.4" x14ac:dyDescent="0.3"/>
  <cols>
    <col min="1" max="1" width="24" customWidth="1"/>
    <col min="2" max="2" width="95" customWidth="1"/>
  </cols>
  <sheetData>
    <row r="1" spans="1:2" x14ac:dyDescent="0.3">
      <c r="A1" s="9" t="s">
        <v>71</v>
      </c>
      <c r="B1" s="10" t="s">
        <v>72</v>
      </c>
    </row>
    <row r="2" spans="1:2" x14ac:dyDescent="0.3">
      <c r="A2" s="9" t="s">
        <v>73</v>
      </c>
      <c r="B2" s="10" t="s">
        <v>74</v>
      </c>
    </row>
    <row r="3" spans="1:2" x14ac:dyDescent="0.3">
      <c r="A3" s="9" t="s">
        <v>75</v>
      </c>
      <c r="B3" s="10" t="s">
        <v>76</v>
      </c>
    </row>
    <row r="4" spans="1:2" ht="28.8" x14ac:dyDescent="0.3">
      <c r="A4" s="9" t="s">
        <v>77</v>
      </c>
      <c r="B4" s="10" t="s">
        <v>78</v>
      </c>
    </row>
    <row r="5" spans="1:2" ht="28.8" x14ac:dyDescent="0.3">
      <c r="A5" s="9" t="s">
        <v>79</v>
      </c>
      <c r="B5" s="10" t="s">
        <v>80</v>
      </c>
    </row>
    <row r="6" spans="1:2" ht="28.8" x14ac:dyDescent="0.3">
      <c r="A6" s="9" t="s">
        <v>81</v>
      </c>
      <c r="B6" s="10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Summary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pothuraju keshava</cp:lastModifiedBy>
  <dcterms:created xsi:type="dcterms:W3CDTF">2026-09-29T17:56:07Z</dcterms:created>
  <dcterms:modified xsi:type="dcterms:W3CDTF">2026-09-29T18:31:21Z</dcterms:modified>
</cp:coreProperties>
</file>